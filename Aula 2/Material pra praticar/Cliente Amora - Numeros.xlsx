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Vendas por mês" sheetId="2" state="visible" r:id="rId4"/>
    <sheet name="Recompra por safra" sheetId="3" state="visible" r:id="rId5"/>
    <sheet name="Base e marge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<sst xmlns="http://schemas.openxmlformats.org/spreadsheetml/2006/main" count="90" uniqueCount="78">
  <si>
    <t xml:space="preserve">Amora — números do negócio</t>
  </si>
  <si>
    <t xml:space="preserve">Arquivo enviado pela Amora à Praxis Consultoria na reunião de diagnóstico preliminar.</t>
  </si>
  <si>
    <t xml:space="preserve">Os números não foram auditados pela Praxis.</t>
  </si>
  <si>
    <t xml:space="preserve">O que tem em cada aba</t>
  </si>
  <si>
    <t xml:space="preserve">Vendas por mês — faturamento, pedidos, clientes novos e investimento em mídia, mês a mês, nos últimos 24 meses.</t>
  </si>
  <si>
    <t xml:space="preserve">Recompra por safra — de cada grupo de clientes que comprou pela primeira vez num mês, quantos voltaram em 12 meses.</t>
  </si>
  <si>
    <t xml:space="preserve">Base e margem — margem de contribuição, tamanho da base de e-mails e frequência de disparo.</t>
  </si>
  <si>
    <t xml:space="preserve">Observações</t>
  </si>
  <si>
    <t xml:space="preserve">O ano fiscal da Amora fecha em agosto. Quando este arquivo fala em "últimos 12 meses", são os meses de setembro a agosto.</t>
  </si>
  <si>
    <t xml:space="preserve">A margem de contribuição é a mesma para toda a linha de produto e não varia por canal.</t>
  </si>
  <si>
    <t xml:space="preserve">Safras com menos de 12 meses completos não aparecem na aba de recompra, porque ainda não deu tempo de medir.</t>
  </si>
  <si>
    <t xml:space="preserve">Dados fictícios, criados para fins didáticos.</t>
  </si>
  <si>
    <t xml:space="preserve">Mês</t>
  </si>
  <si>
    <t xml:space="preserve">Faturamento</t>
  </si>
  <si>
    <t xml:space="preserve">Pedidos</t>
  </si>
  <si>
    <t xml:space="preserve">Ticket médio</t>
  </si>
  <si>
    <t xml:space="preserve">Clientes novos</t>
  </si>
  <si>
    <t xml:space="preserve">Pedidos de recorrentes</t>
  </si>
  <si>
    <t xml:space="preserve">Investimento em mídia</t>
  </si>
  <si>
    <t xml:space="preserve">Custo por cliente novo</t>
  </si>
  <si>
    <t xml:space="preserve">set/24</t>
  </si>
  <si>
    <t xml:space="preserve">out/24</t>
  </si>
  <si>
    <t xml:space="preserve">nov/24</t>
  </si>
  <si>
    <t xml:space="preserve">dez/24</t>
  </si>
  <si>
    <t xml:space="preserve">jan/25</t>
  </si>
  <si>
    <t xml:space="preserve">fev/25</t>
  </si>
  <si>
    <t xml:space="preserve">mar/25</t>
  </si>
  <si>
    <t xml:space="preserve">abr/25</t>
  </si>
  <si>
    <t xml:space="preserve">mai/25</t>
  </si>
  <si>
    <t xml:space="preserve">jun/25</t>
  </si>
  <si>
    <t xml:space="preserve">jul/25</t>
  </si>
  <si>
    <t xml:space="preserve">ago/25</t>
  </si>
  <si>
    <t xml:space="preserve">Total set/24 a ago/25</t>
  </si>
  <si>
    <t xml:space="preserve">set/25</t>
  </si>
  <si>
    <t xml:space="preserve">out/25</t>
  </si>
  <si>
    <t xml:space="preserve">nov/25</t>
  </si>
  <si>
    <t xml:space="preserve">dez/25</t>
  </si>
  <si>
    <t xml:space="preserve">jan/26</t>
  </si>
  <si>
    <t xml:space="preserve">fev/26</t>
  </si>
  <si>
    <t xml:space="preserve">mar/26</t>
  </si>
  <si>
    <t xml:space="preserve">abr/26</t>
  </si>
  <si>
    <t xml:space="preserve">mai/26</t>
  </si>
  <si>
    <t xml:space="preserve">jun/26</t>
  </si>
  <si>
    <t xml:space="preserve">jul/26</t>
  </si>
  <si>
    <t xml:space="preserve">ago/26</t>
  </si>
  <si>
    <t xml:space="preserve">Total set/25 a ago/26</t>
  </si>
  <si>
    <t xml:space="preserve">Ticket médio e custo por cliente novo são calculados, não digitados. O ano fiscal fecha em agosto.</t>
  </si>
  <si>
    <t xml:space="preserve">Safra (mês da 1ª compra)</t>
  </si>
  <si>
    <t xml:space="preserve">Clientes na safra</t>
  </si>
  <si>
    <t xml:space="preserve">Voltaram a comprar em 12 meses</t>
  </si>
  <si>
    <t xml:space="preserve">Recompra em 12 meses</t>
  </si>
  <si>
    <t xml:space="preserve">mar/24</t>
  </si>
  <si>
    <t xml:space="preserve">abr/24</t>
  </si>
  <si>
    <t xml:space="preserve">mai/24</t>
  </si>
  <si>
    <t xml:space="preserve">jun/24</t>
  </si>
  <si>
    <t xml:space="preserve">jul/24</t>
  </si>
  <si>
    <t xml:space="preserve">ago/24</t>
  </si>
  <si>
    <t xml:space="preserve">Média do período</t>
  </si>
  <si>
    <t xml:space="preserve">Safras posteriores a ago/25 ainda não completaram 12 meses e por isso não entram nesta conta.</t>
  </si>
  <si>
    <t xml:space="preserve">Item</t>
  </si>
  <si>
    <t xml:space="preserve">Valor</t>
  </si>
  <si>
    <t xml:space="preserve">Observação</t>
  </si>
  <si>
    <t xml:space="preserve">Margem de contribuição</t>
  </si>
  <si>
    <t xml:space="preserve">Depois de custo do produto, frete subsidiado e taxa de meio de pagamento.</t>
  </si>
  <si>
    <t xml:space="preserve">Base de e-mails cadastrada</t>
  </si>
  <si>
    <t xml:space="preserve">Cadastros ativos, sem descadastro registrado.</t>
  </si>
  <si>
    <t xml:space="preserve">Disparos por mês para a base</t>
  </si>
  <si>
    <t xml:space="preserve">Campanha de novidade e campanha de promoção.</t>
  </si>
  <si>
    <t xml:space="preserve">Ferramenta de e-mail e automação</t>
  </si>
  <si>
    <t xml:space="preserve">contratada</t>
  </si>
  <si>
    <t xml:space="preserve">Plano anual, já pago, com módulo de automação incluído e não utilizado.</t>
  </si>
  <si>
    <t xml:space="preserve">Responsável pela recompra</t>
  </si>
  <si>
    <t xml:space="preserve">não definido</t>
  </si>
  <si>
    <t xml:space="preserve">Hoje a recompra não é responsabilidade nomeada de ninguém.</t>
  </si>
  <si>
    <t xml:space="preserve">Prazo médio entre 1ª e 2ª compra</t>
  </si>
  <si>
    <t xml:space="preserve">74 dias</t>
  </si>
  <si>
    <t xml:space="preserve">Considerando só quem chegou a fazer a segunda compra.</t>
  </si>
  <si>
    <t xml:space="preserve">Informado pela Amora. Não auditado pela Praxis.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</si>
</sst>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"/>
    <numFmt numFmtId="166" formatCode="#,##0"/>
    <numFmt numFmtId="167" formatCode="&quot;R$ &quot;#,##0.00"/>
    <numFmt numFmtId="168" formatCode="0.0%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3E56"/>
        <bgColor rgb="FF333399"/>
      </patternFill>
    </fill>
    <fill>
      <patternFill patternType="solid">
        <fgColor rgb="FFEFED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DE8"/>
      <rgbColor rgb="FFCCFFFF"/>
      <rgbColor rgb="FF660066"/>
      <rgbColor rgb="FFFF8080"/>
      <rgbColor rgb="FF0066CC"/>
      <rgbColor rgb="FFD5D2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E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22"/>
  </cols>
  <sheetData>
    <row r="1" customFormat="false" ht="30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</row>
    <row r="2" customFormat="false" ht="15" hidden="false" customHeight="false" outlineLevel="0" collapsed="false">
      <c r="A2" s="6" t="s">
        <v>20</v>
      </c>
      <c r="B2" s="7" t="n">
        <v>271523.74</v>
      </c>
      <c r="C2" s="8" t="n">
        <v>1104</v>
      </c>
      <c r="D2" s="9" t="n">
        <f aca="false">IFERROR(B2/C2,0)</f>
        <v>245.945416666667</v>
      </c>
      <c r="E2" s="8" t="n">
        <v>538</v>
      </c>
      <c r="F2" s="8" t="n">
        <f aca="false">C2-E2</f>
        <v>566</v>
      </c>
      <c r="G2" s="7" t="n">
        <v>30100</v>
      </c>
      <c r="H2" s="9" t="n">
        <f aca="false">IFERROR(G2/E2,0)</f>
        <v>55.9479553903346</v>
      </c>
    </row>
    <row r="3" customFormat="false" ht="15" hidden="false" customHeight="false" outlineLevel="0" collapsed="false">
      <c r="A3" s="6" t="s">
        <v>21</v>
      </c>
      <c r="B3" s="7" t="n">
        <v>280377.77</v>
      </c>
      <c r="C3" s="8" t="n">
        <v>1140</v>
      </c>
      <c r="D3" s="9" t="n">
        <f aca="false">IFERROR(B3/C3,0)</f>
        <v>245.945412280702</v>
      </c>
      <c r="E3" s="8" t="n">
        <v>555</v>
      </c>
      <c r="F3" s="8" t="n">
        <f aca="false">C3-E3</f>
        <v>585</v>
      </c>
      <c r="G3" s="7" t="n">
        <v>32700</v>
      </c>
      <c r="H3" s="9" t="n">
        <f aca="false">IFERROR(G3/E3,0)</f>
        <v>58.9189189189189</v>
      </c>
    </row>
    <row r="4" customFormat="false" ht="15" hidden="false" customHeight="false" outlineLevel="0" collapsed="false">
      <c r="A4" s="6" t="s">
        <v>22</v>
      </c>
      <c r="B4" s="7" t="n">
        <v>360064.09</v>
      </c>
      <c r="C4" s="8" t="n">
        <v>1464</v>
      </c>
      <c r="D4" s="9" t="n">
        <f aca="false">IFERROR(B4/C4,0)</f>
        <v>245.945416666667</v>
      </c>
      <c r="E4" s="8" t="n">
        <v>713</v>
      </c>
      <c r="F4" s="8" t="n">
        <f aca="false">C4-E4</f>
        <v>751</v>
      </c>
      <c r="G4" s="7" t="n">
        <v>44200</v>
      </c>
      <c r="H4" s="9" t="n">
        <f aca="false">IFERROR(G4/E4,0)</f>
        <v>61.9915848527349</v>
      </c>
    </row>
    <row r="5" customFormat="false" ht="15" hidden="false" customHeight="false" outlineLevel="0" collapsed="false">
      <c r="A5" s="6" t="s">
        <v>23</v>
      </c>
      <c r="B5" s="7" t="n">
        <v>377772.16</v>
      </c>
      <c r="C5" s="8" t="n">
        <v>1536</v>
      </c>
      <c r="D5" s="9" t="n">
        <f aca="false">IFERROR(B5/C5,0)</f>
        <v>245.945416666667</v>
      </c>
      <c r="E5" s="8" t="n">
        <v>748</v>
      </c>
      <c r="F5" s="8" t="n">
        <f aca="false">C5-E5</f>
        <v>788</v>
      </c>
      <c r="G5" s="7" t="n">
        <v>48600</v>
      </c>
      <c r="H5" s="9" t="n">
        <f aca="false">IFERROR(G5/E5,0)</f>
        <v>64.9732620320856</v>
      </c>
    </row>
    <row r="6" customFormat="false" ht="15" hidden="false" customHeight="false" outlineLevel="0" collapsed="false">
      <c r="A6" s="6" t="s">
        <v>24</v>
      </c>
      <c r="B6" s="7" t="n">
        <v>236107.6</v>
      </c>
      <c r="C6" s="8" t="n">
        <v>960</v>
      </c>
      <c r="D6" s="9" t="n">
        <f aca="false">IFERROR(B6/C6,0)</f>
        <v>245.945416666667</v>
      </c>
      <c r="E6" s="8" t="n">
        <v>468</v>
      </c>
      <c r="F6" s="8" t="n">
        <f aca="false">C6-E6</f>
        <v>492</v>
      </c>
      <c r="G6" s="7" t="n">
        <v>31800</v>
      </c>
      <c r="H6" s="9" t="n">
        <f aca="false">IFERROR(G6/E6,0)</f>
        <v>67.9487179487179</v>
      </c>
    </row>
    <row r="7" customFormat="false" ht="15" hidden="false" customHeight="false" outlineLevel="0" collapsed="false">
      <c r="A7" s="6" t="s">
        <v>25</v>
      </c>
      <c r="B7" s="7" t="n">
        <v>242010.29</v>
      </c>
      <c r="C7" s="8" t="n">
        <v>984</v>
      </c>
      <c r="D7" s="9" t="n">
        <f aca="false">IFERROR(B7/C7,0)</f>
        <v>245.945416666667</v>
      </c>
      <c r="E7" s="8" t="n">
        <v>479</v>
      </c>
      <c r="F7" s="8" t="n">
        <f aca="false">C7-E7</f>
        <v>505</v>
      </c>
      <c r="G7" s="7" t="n">
        <v>34000</v>
      </c>
      <c r="H7" s="9" t="n">
        <f aca="false">IFERROR(G7/E7,0)</f>
        <v>70.9812108559499</v>
      </c>
    </row>
    <row r="8" customFormat="false" ht="15" hidden="false" customHeight="false" outlineLevel="0" collapsed="false">
      <c r="A8" s="6" t="s">
        <v>26</v>
      </c>
      <c r="B8" s="7" t="n">
        <v>280377.77</v>
      </c>
      <c r="C8" s="8" t="n">
        <v>1140</v>
      </c>
      <c r="D8" s="9" t="n">
        <f aca="false">IFERROR(B8/C8,0)</f>
        <v>245.945412280702</v>
      </c>
      <c r="E8" s="8" t="n">
        <v>555</v>
      </c>
      <c r="F8" s="8" t="n">
        <f aca="false">C8-E8</f>
        <v>585</v>
      </c>
      <c r="G8" s="7" t="n">
        <v>41100</v>
      </c>
      <c r="H8" s="9" t="n">
        <f aca="false">IFERROR(G8/E8,0)</f>
        <v>74.0540540540541</v>
      </c>
    </row>
    <row r="9" customFormat="false" ht="15" hidden="false" customHeight="false" outlineLevel="0" collapsed="false">
      <c r="A9" s="6" t="s">
        <v>27</v>
      </c>
      <c r="B9" s="7" t="n">
        <v>295134.5</v>
      </c>
      <c r="C9" s="8" t="n">
        <v>1200</v>
      </c>
      <c r="D9" s="9" t="n">
        <f aca="false">IFERROR(B9/C9,0)</f>
        <v>245.945416666667</v>
      </c>
      <c r="E9" s="8" t="n">
        <v>585</v>
      </c>
      <c r="F9" s="8" t="n">
        <f aca="false">C9-E9</f>
        <v>615</v>
      </c>
      <c r="G9" s="7" t="n">
        <v>45000</v>
      </c>
      <c r="H9" s="9" t="n">
        <f aca="false">IFERROR(G9/E9,0)</f>
        <v>76.9230769230769</v>
      </c>
    </row>
    <row r="10" customFormat="false" ht="15" hidden="false" customHeight="false" outlineLevel="0" collapsed="false">
      <c r="A10" s="6" t="s">
        <v>28</v>
      </c>
      <c r="B10" s="7" t="n">
        <v>348258.71</v>
      </c>
      <c r="C10" s="8" t="n">
        <v>1416</v>
      </c>
      <c r="D10" s="9" t="n">
        <f aca="false">IFERROR(B10/C10,0)</f>
        <v>245.945416666667</v>
      </c>
      <c r="E10" s="8" t="n">
        <v>690</v>
      </c>
      <c r="F10" s="8" t="n">
        <f aca="false">C10-E10</f>
        <v>726</v>
      </c>
      <c r="G10" s="7" t="n">
        <v>55200</v>
      </c>
      <c r="H10" s="9" t="n">
        <f aca="false">IFERROR(G10/E10,0)</f>
        <v>80</v>
      </c>
    </row>
    <row r="11" customFormat="false" ht="15" hidden="false" customHeight="false" outlineLevel="0" collapsed="false">
      <c r="A11" s="6" t="s">
        <v>29</v>
      </c>
      <c r="B11" s="7" t="n">
        <v>289231.81</v>
      </c>
      <c r="C11" s="8" t="n">
        <v>1176</v>
      </c>
      <c r="D11" s="9" t="n">
        <f aca="false">IFERROR(B11/C11,0)</f>
        <v>245.945416666667</v>
      </c>
      <c r="E11" s="8" t="n">
        <v>573</v>
      </c>
      <c r="F11" s="8" t="n">
        <f aca="false">C11-E11</f>
        <v>603</v>
      </c>
      <c r="G11" s="7" t="n">
        <v>47600</v>
      </c>
      <c r="H11" s="9" t="n">
        <f aca="false">IFERROR(G11/E11,0)</f>
        <v>83.0715532286213</v>
      </c>
    </row>
    <row r="12" customFormat="false" ht="15" hidden="false" customHeight="false" outlineLevel="0" collapsed="false">
      <c r="A12" s="6" t="s">
        <v>30</v>
      </c>
      <c r="B12" s="7" t="n">
        <v>283329.12</v>
      </c>
      <c r="C12" s="8" t="n">
        <v>1152</v>
      </c>
      <c r="D12" s="9" t="n">
        <f aca="false">IFERROR(B12/C12,0)</f>
        <v>245.945416666667</v>
      </c>
      <c r="E12" s="8" t="n">
        <v>561</v>
      </c>
      <c r="F12" s="8" t="n">
        <f aca="false">C12-E12</f>
        <v>591</v>
      </c>
      <c r="G12" s="7" t="n">
        <v>48200</v>
      </c>
      <c r="H12" s="9" t="n">
        <f aca="false">IFERROR(G12/E12,0)</f>
        <v>85.9180035650624</v>
      </c>
    </row>
    <row r="13" customFormat="false" ht="15" hidden="false" customHeight="false" outlineLevel="0" collapsed="false">
      <c r="A13" s="6" t="s">
        <v>31</v>
      </c>
      <c r="B13" s="7" t="n">
        <v>295134.5</v>
      </c>
      <c r="C13" s="8" t="n">
        <v>1200</v>
      </c>
      <c r="D13" s="9" t="n">
        <f aca="false">IFERROR(B13/C13,0)</f>
        <v>245.945416666667</v>
      </c>
      <c r="E13" s="8" t="n">
        <v>585</v>
      </c>
      <c r="F13" s="8" t="n">
        <f aca="false">C13-E13</f>
        <v>615</v>
      </c>
      <c r="G13" s="7" t="n">
        <v>52100</v>
      </c>
      <c r="H13" s="9" t="n">
        <f aca="false">IFERROR(G13/E13,0)</f>
        <v>89.0598290598291</v>
      </c>
    </row>
    <row r="14" customFormat="false" ht="15" hidden="false" customHeight="false" outlineLevel="0" collapsed="false">
      <c r="A14" s="10" t="s">
        <v>32</v>
      </c>
      <c r="B14" s="11" t="n">
        <f aca="false">SUM(B2:B13)</f>
        <v>3559322.06</v>
      </c>
      <c r="C14" s="12" t="n">
        <f aca="false">SUM(C2:C13)</f>
        <v>14472</v>
      </c>
      <c r="D14" s="13" t="n">
        <f aca="false">IFERROR(B14/C14,0)</f>
        <v>245.945415975677</v>
      </c>
      <c r="E14" s="12" t="n">
        <f aca="false">SUM(E2:E13)</f>
        <v>7050</v>
      </c>
      <c r="F14" s="12" t="n">
        <f aca="false">SUM(F2:F13)</f>
        <v>7422</v>
      </c>
      <c r="G14" s="11" t="n">
        <f aca="false">SUM(G2:G13)</f>
        <v>510600</v>
      </c>
      <c r="H14" s="13" t="n">
        <f aca="false">IFERROR(G14/E14,0)</f>
        <v>72.4255319148936</v>
      </c>
    </row>
    <row r="15" customFormat="false" ht="15" hidden="false" customHeight="false" outlineLevel="0" collapsed="false">
      <c r="B15" s="14"/>
      <c r="C15" s="15"/>
      <c r="D15" s="16"/>
      <c r="E15" s="15"/>
      <c r="F15" s="15"/>
      <c r="G15" s="14"/>
      <c r="H15" s="16"/>
    </row>
    <row r="16" customFormat="false" ht="15" hidden="false" customHeight="false" outlineLevel="0" collapsed="false">
      <c r="A16" s="6" t="s">
        <v>33</v>
      </c>
      <c r="B16" s="7" t="n">
        <v>322022.84</v>
      </c>
      <c r="C16" s="8" t="n">
        <v>1309</v>
      </c>
      <c r="D16" s="9" t="n">
        <f aca="false">IFERROR(B16/C16,0)</f>
        <v>246.006753246753</v>
      </c>
      <c r="E16" s="8" t="n">
        <v>590</v>
      </c>
      <c r="F16" s="8" t="n">
        <f aca="false">C16-E16</f>
        <v>719</v>
      </c>
      <c r="G16" s="7" t="n">
        <v>59200</v>
      </c>
      <c r="H16" s="9" t="n">
        <f aca="false">IFERROR(G16/E16,0)</f>
        <v>100.338983050847</v>
      </c>
    </row>
    <row r="17" customFormat="false" ht="15" hidden="false" customHeight="false" outlineLevel="0" collapsed="false">
      <c r="A17" s="6" t="s">
        <v>34</v>
      </c>
      <c r="B17" s="7" t="n">
        <v>332300.16</v>
      </c>
      <c r="C17" s="8" t="n">
        <v>1351</v>
      </c>
      <c r="D17" s="9" t="n">
        <f aca="false">IFERROR(B17/C17,0)</f>
        <v>245.96606957809</v>
      </c>
      <c r="E17" s="8" t="n">
        <v>609</v>
      </c>
      <c r="F17" s="8" t="n">
        <f aca="false">C17-E17</f>
        <v>742</v>
      </c>
      <c r="G17" s="7" t="n">
        <v>63100</v>
      </c>
      <c r="H17" s="9" t="n">
        <f aca="false">IFERROR(G17/E17,0)</f>
        <v>103.612479474548</v>
      </c>
    </row>
    <row r="18" customFormat="false" ht="15" hidden="false" customHeight="false" outlineLevel="0" collapsed="false">
      <c r="A18" s="6" t="s">
        <v>35</v>
      </c>
      <c r="B18" s="7" t="n">
        <v>424796.08</v>
      </c>
      <c r="C18" s="8" t="n">
        <v>1727</v>
      </c>
      <c r="D18" s="9" t="n">
        <f aca="false">IFERROR(B18/C18,0)</f>
        <v>245.973410538506</v>
      </c>
      <c r="E18" s="8" t="n">
        <v>779</v>
      </c>
      <c r="F18" s="8" t="n">
        <f aca="false">C18-E18</f>
        <v>948</v>
      </c>
      <c r="G18" s="7" t="n">
        <v>83200</v>
      </c>
      <c r="H18" s="9" t="n">
        <f aca="false">IFERROR(G18/E18,0)</f>
        <v>106.803594351733</v>
      </c>
    </row>
    <row r="19" customFormat="false" ht="15" hidden="false" customHeight="false" outlineLevel="0" collapsed="false">
      <c r="A19" s="6" t="s">
        <v>36</v>
      </c>
      <c r="B19" s="7" t="n">
        <v>445350.73</v>
      </c>
      <c r="C19" s="8" t="n">
        <v>1810</v>
      </c>
      <c r="D19" s="9" t="n">
        <f aca="false">IFERROR(B19/C19,0)</f>
        <v>246.050127071823</v>
      </c>
      <c r="E19" s="8" t="n">
        <v>816</v>
      </c>
      <c r="F19" s="8" t="n">
        <f aca="false">C19-E19</f>
        <v>994</v>
      </c>
      <c r="G19" s="7" t="n">
        <v>89800</v>
      </c>
      <c r="H19" s="9" t="n">
        <f aca="false">IFERROR(G19/E19,0)</f>
        <v>110.049019607843</v>
      </c>
    </row>
    <row r="20" customFormat="false" ht="15" hidden="false" customHeight="false" outlineLevel="0" collapsed="false">
      <c r="A20" s="6" t="s">
        <v>37</v>
      </c>
      <c r="B20" s="7" t="n">
        <v>280913.54</v>
      </c>
      <c r="C20" s="8" t="n">
        <v>1142</v>
      </c>
      <c r="D20" s="9" t="n">
        <f aca="false">IFERROR(B20/C20,0)</f>
        <v>245.983835376532</v>
      </c>
      <c r="E20" s="8" t="n">
        <v>515</v>
      </c>
      <c r="F20" s="8" t="n">
        <f aca="false">C20-E20</f>
        <v>627</v>
      </c>
      <c r="G20" s="7" t="n">
        <v>58400</v>
      </c>
      <c r="H20" s="9" t="n">
        <f aca="false">IFERROR(G20/E20,0)</f>
        <v>113.398058252427</v>
      </c>
    </row>
    <row r="21" customFormat="false" ht="15" hidden="false" customHeight="false" outlineLevel="0" collapsed="false">
      <c r="A21" s="6" t="s">
        <v>38</v>
      </c>
      <c r="B21" s="7" t="n">
        <v>287765.09</v>
      </c>
      <c r="C21" s="8" t="n">
        <v>1170</v>
      </c>
      <c r="D21" s="9" t="n">
        <f aca="false">IFERROR(B21/C21,0)</f>
        <v>245.953068376068</v>
      </c>
      <c r="E21" s="8" t="n">
        <v>528</v>
      </c>
      <c r="F21" s="8" t="n">
        <f aca="false">C21-E21</f>
        <v>642</v>
      </c>
      <c r="G21" s="7" t="n">
        <v>61600</v>
      </c>
      <c r="H21" s="9" t="n">
        <f aca="false">IFERROR(G21/E21,0)</f>
        <v>116.666666666667</v>
      </c>
    </row>
    <row r="22" customFormat="false" ht="15" hidden="false" customHeight="false" outlineLevel="0" collapsed="false">
      <c r="A22" s="6" t="s">
        <v>39</v>
      </c>
      <c r="B22" s="7" t="n">
        <v>328874.39</v>
      </c>
      <c r="C22" s="8" t="n">
        <v>1337</v>
      </c>
      <c r="D22" s="9" t="n">
        <f aca="false">IFERROR(B22/C22,0)</f>
        <v>245.979349289454</v>
      </c>
      <c r="E22" s="8" t="n">
        <v>603</v>
      </c>
      <c r="F22" s="8" t="n">
        <f aca="false">C22-E22</f>
        <v>734</v>
      </c>
      <c r="G22" s="7" t="n">
        <v>72300</v>
      </c>
      <c r="H22" s="9" t="n">
        <f aca="false">IFERROR(G22/E22,0)</f>
        <v>119.900497512438</v>
      </c>
    </row>
    <row r="23" customFormat="false" ht="15" hidden="false" customHeight="false" outlineLevel="0" collapsed="false">
      <c r="A23" s="6" t="s">
        <v>40</v>
      </c>
      <c r="B23" s="7" t="n">
        <v>349429.04</v>
      </c>
      <c r="C23" s="8" t="n">
        <v>1420</v>
      </c>
      <c r="D23" s="9" t="n">
        <f aca="false">IFERROR(B23/C23,0)</f>
        <v>246.076788732394</v>
      </c>
      <c r="E23" s="8" t="n">
        <v>641</v>
      </c>
      <c r="F23" s="8" t="n">
        <f aca="false">C23-E23</f>
        <v>779</v>
      </c>
      <c r="G23" s="7" t="n">
        <v>78900</v>
      </c>
      <c r="H23" s="9" t="n">
        <f aca="false">IFERROR(G23/E23,0)</f>
        <v>123.088923556942</v>
      </c>
    </row>
    <row r="24" customFormat="false" ht="15" hidden="false" customHeight="false" outlineLevel="0" collapsed="false">
      <c r="A24" s="6" t="s">
        <v>41</v>
      </c>
      <c r="B24" s="7" t="n">
        <v>411092.99</v>
      </c>
      <c r="C24" s="8" t="n">
        <v>1671</v>
      </c>
      <c r="D24" s="9" t="n">
        <f aca="false">IFERROR(B24/C24,0)</f>
        <v>246.016152004788</v>
      </c>
      <c r="E24" s="8" t="n">
        <v>754</v>
      </c>
      <c r="F24" s="8" t="n">
        <f aca="false">C24-E24</f>
        <v>917</v>
      </c>
      <c r="G24" s="7" t="n">
        <v>95400</v>
      </c>
      <c r="H24" s="9" t="n">
        <f aca="false">IFERROR(G24/E24,0)</f>
        <v>126.525198938992</v>
      </c>
    </row>
    <row r="25" customFormat="false" ht="15" hidden="false" customHeight="false" outlineLevel="0" collapsed="false">
      <c r="A25" s="6" t="s">
        <v>42</v>
      </c>
      <c r="B25" s="7" t="n">
        <v>339151.71</v>
      </c>
      <c r="C25" s="8" t="n">
        <v>1379</v>
      </c>
      <c r="D25" s="9" t="n">
        <f aca="false">IFERROR(B25/C25,0)</f>
        <v>245.940326323423</v>
      </c>
      <c r="E25" s="8" t="n">
        <v>622</v>
      </c>
      <c r="F25" s="8" t="n">
        <f aca="false">C25-E25</f>
        <v>757</v>
      </c>
      <c r="G25" s="7" t="n">
        <v>80700</v>
      </c>
      <c r="H25" s="9" t="n">
        <f aca="false">IFERROR(G25/E25,0)</f>
        <v>129.742765273312</v>
      </c>
    </row>
    <row r="26" customFormat="false" ht="15" hidden="false" customHeight="false" outlineLevel="0" collapsed="false">
      <c r="A26" s="6" t="s">
        <v>43</v>
      </c>
      <c r="B26" s="7" t="n">
        <v>332300.16</v>
      </c>
      <c r="C26" s="8" t="n">
        <v>1351</v>
      </c>
      <c r="D26" s="9" t="n">
        <f aca="false">IFERROR(B26/C26,0)</f>
        <v>245.96606957809</v>
      </c>
      <c r="E26" s="8" t="n">
        <v>609</v>
      </c>
      <c r="F26" s="8" t="n">
        <f aca="false">C26-E26</f>
        <v>742</v>
      </c>
      <c r="G26" s="7" t="n">
        <v>81000</v>
      </c>
      <c r="H26" s="9" t="n">
        <f aca="false">IFERROR(G26/E26,0)</f>
        <v>133.004926108374</v>
      </c>
    </row>
    <row r="27" customFormat="false" ht="15" hidden="false" customHeight="false" outlineLevel="0" collapsed="false">
      <c r="A27" s="6" t="s">
        <v>44</v>
      </c>
      <c r="B27" s="7" t="n">
        <v>346003.26</v>
      </c>
      <c r="C27" s="8" t="n">
        <v>1407</v>
      </c>
      <c r="D27" s="9" t="n">
        <f aca="false">IFERROR(B27/C27,0)</f>
        <v>245.915607675906</v>
      </c>
      <c r="E27" s="8" t="n">
        <v>634</v>
      </c>
      <c r="F27" s="8" t="n">
        <f aca="false">C27-E27</f>
        <v>773</v>
      </c>
      <c r="G27" s="7" t="n">
        <v>86300</v>
      </c>
      <c r="H27" s="9" t="n">
        <f aca="false">IFERROR(G27/E27,0)</f>
        <v>136.119873817035</v>
      </c>
    </row>
    <row r="28" customFormat="false" ht="15" hidden="false" customHeight="false" outlineLevel="0" collapsed="false">
      <c r="A28" s="10" t="s">
        <v>45</v>
      </c>
      <c r="B28" s="11" t="n">
        <f aca="false">SUM(B16:B27)</f>
        <v>4199999.99</v>
      </c>
      <c r="C28" s="12" t="n">
        <f aca="false">SUM(C16:C27)</f>
        <v>17074</v>
      </c>
      <c r="D28" s="13" t="n">
        <f aca="false">IFERROR(B28/C28,0)</f>
        <v>245.988051423217</v>
      </c>
      <c r="E28" s="12" t="n">
        <f aca="false">SUM(E16:E27)</f>
        <v>7700</v>
      </c>
      <c r="F28" s="12" t="n">
        <f aca="false">SUM(F16:F27)</f>
        <v>9374</v>
      </c>
      <c r="G28" s="11" t="n">
        <f aca="false">SUM(G16:G27)</f>
        <v>909900</v>
      </c>
      <c r="H28" s="13" t="n">
        <f aca="false">IFERROR(G28/E28,0)</f>
        <v>118.168831168831</v>
      </c>
    </row>
    <row r="30" customFormat="false" ht="15" hidden="false" customHeight="false" outlineLevel="0" collapsed="false">
      <c r="A30" s="17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2"/>
  </cols>
  <sheetData>
    <row r="1" customFormat="false" ht="30" hidden="false" customHeight="true" outlineLevel="0" collapsed="false">
      <c r="A1" s="5" t="s">
        <v>47</v>
      </c>
      <c r="B1" s="5" t="s">
        <v>48</v>
      </c>
      <c r="C1" s="5" t="s">
        <v>49</v>
      </c>
      <c r="D1" s="5" t="s">
        <v>50</v>
      </c>
    </row>
    <row r="2" customFormat="false" ht="15" hidden="false" customHeight="false" outlineLevel="0" collapsed="false">
      <c r="A2" s="6" t="s">
        <v>51</v>
      </c>
      <c r="B2" s="8" t="n">
        <v>612</v>
      </c>
      <c r="C2" s="8" t="n">
        <v>208</v>
      </c>
      <c r="D2" s="18" t="n">
        <f aca="false">IFERROR(C2/B2,0)</f>
        <v>0.339869281045752</v>
      </c>
    </row>
    <row r="3" customFormat="false" ht="15" hidden="false" customHeight="false" outlineLevel="0" collapsed="false">
      <c r="A3" s="6" t="s">
        <v>52</v>
      </c>
      <c r="B3" s="8" t="n">
        <v>598</v>
      </c>
      <c r="C3" s="8" t="n">
        <v>199</v>
      </c>
      <c r="D3" s="18" t="n">
        <f aca="false">IFERROR(C3/B3,0)</f>
        <v>0.332775919732441</v>
      </c>
    </row>
    <row r="4" customFormat="false" ht="15" hidden="false" customHeight="false" outlineLevel="0" collapsed="false">
      <c r="A4" s="6" t="s">
        <v>53</v>
      </c>
      <c r="B4" s="8" t="n">
        <v>655</v>
      </c>
      <c r="C4" s="8" t="n">
        <v>213</v>
      </c>
      <c r="D4" s="18" t="n">
        <f aca="false">IFERROR(C4/B4,0)</f>
        <v>0.325190839694657</v>
      </c>
    </row>
    <row r="5" customFormat="false" ht="15" hidden="false" customHeight="false" outlineLevel="0" collapsed="false">
      <c r="A5" s="6" t="s">
        <v>54</v>
      </c>
      <c r="B5" s="8" t="n">
        <v>604</v>
      </c>
      <c r="C5" s="8" t="n">
        <v>192</v>
      </c>
      <c r="D5" s="18" t="n">
        <f aca="false">IFERROR(C5/B5,0)</f>
        <v>0.317880794701987</v>
      </c>
    </row>
    <row r="6" customFormat="false" ht="15" hidden="false" customHeight="false" outlineLevel="0" collapsed="false">
      <c r="A6" s="6" t="s">
        <v>55</v>
      </c>
      <c r="B6" s="8" t="n">
        <v>589</v>
      </c>
      <c r="C6" s="8" t="n">
        <v>182</v>
      </c>
      <c r="D6" s="18" t="n">
        <f aca="false">IFERROR(C6/B6,0)</f>
        <v>0.308998302207131</v>
      </c>
    </row>
    <row r="7" customFormat="false" ht="15" hidden="false" customHeight="false" outlineLevel="0" collapsed="false">
      <c r="A7" s="6" t="s">
        <v>56</v>
      </c>
      <c r="B7" s="8" t="n">
        <v>618</v>
      </c>
      <c r="C7" s="8" t="n">
        <v>186</v>
      </c>
      <c r="D7" s="18" t="n">
        <f aca="false">IFERROR(C7/B7,0)</f>
        <v>0.300970873786408</v>
      </c>
    </row>
    <row r="8" customFormat="false" ht="15" hidden="false" customHeight="false" outlineLevel="0" collapsed="false">
      <c r="A8" s="6" t="s">
        <v>20</v>
      </c>
      <c r="B8" s="8" t="n">
        <v>538</v>
      </c>
      <c r="C8" s="8" t="n">
        <v>158</v>
      </c>
      <c r="D8" s="18" t="n">
        <f aca="false">IFERROR(C8/B8,0)</f>
        <v>0.29368029739777</v>
      </c>
    </row>
    <row r="9" customFormat="false" ht="15" hidden="false" customHeight="false" outlineLevel="0" collapsed="false">
      <c r="A9" s="6" t="s">
        <v>21</v>
      </c>
      <c r="B9" s="8" t="n">
        <v>555</v>
      </c>
      <c r="C9" s="8" t="n">
        <v>159</v>
      </c>
      <c r="D9" s="18" t="n">
        <f aca="false">IFERROR(C9/B9,0)</f>
        <v>0.286486486486487</v>
      </c>
    </row>
    <row r="10" customFormat="false" ht="15" hidden="false" customHeight="false" outlineLevel="0" collapsed="false">
      <c r="A10" s="6" t="s">
        <v>22</v>
      </c>
      <c r="B10" s="8" t="n">
        <v>713</v>
      </c>
      <c r="C10" s="8" t="n">
        <v>199</v>
      </c>
      <c r="D10" s="18" t="n">
        <f aca="false">IFERROR(C10/B10,0)</f>
        <v>0.279102384291725</v>
      </c>
    </row>
    <row r="11" customFormat="false" ht="15" hidden="false" customHeight="false" outlineLevel="0" collapsed="false">
      <c r="A11" s="6" t="s">
        <v>23</v>
      </c>
      <c r="B11" s="8" t="n">
        <v>748</v>
      </c>
      <c r="C11" s="8" t="n">
        <v>203</v>
      </c>
      <c r="D11" s="18" t="n">
        <f aca="false">IFERROR(C11/B11,0)</f>
        <v>0.271390374331551</v>
      </c>
    </row>
    <row r="12" customFormat="false" ht="15" hidden="false" customHeight="false" outlineLevel="0" collapsed="false">
      <c r="A12" s="6" t="s">
        <v>24</v>
      </c>
      <c r="B12" s="8" t="n">
        <v>468</v>
      </c>
      <c r="C12" s="8" t="n">
        <v>123</v>
      </c>
      <c r="D12" s="18" t="n">
        <f aca="false">IFERROR(C12/B12,0)</f>
        <v>0.262820512820513</v>
      </c>
    </row>
    <row r="13" customFormat="false" ht="15" hidden="false" customHeight="false" outlineLevel="0" collapsed="false">
      <c r="A13" s="6" t="s">
        <v>25</v>
      </c>
      <c r="B13" s="8" t="n">
        <v>479</v>
      </c>
      <c r="C13" s="8" t="n">
        <v>123</v>
      </c>
      <c r="D13" s="18" t="n">
        <f aca="false">IFERROR(C13/B13,0)</f>
        <v>0.25678496868476</v>
      </c>
    </row>
    <row r="14" customFormat="false" ht="15" hidden="false" customHeight="false" outlineLevel="0" collapsed="false">
      <c r="A14" s="6" t="s">
        <v>26</v>
      </c>
      <c r="B14" s="8" t="n">
        <v>555</v>
      </c>
      <c r="C14" s="8" t="n">
        <v>138</v>
      </c>
      <c r="D14" s="18" t="n">
        <f aca="false">IFERROR(C14/B14,0)</f>
        <v>0.248648648648649</v>
      </c>
    </row>
    <row r="15" customFormat="false" ht="15" hidden="false" customHeight="false" outlineLevel="0" collapsed="false">
      <c r="A15" s="6" t="s">
        <v>27</v>
      </c>
      <c r="B15" s="8" t="n">
        <v>585</v>
      </c>
      <c r="C15" s="8" t="n">
        <v>141</v>
      </c>
      <c r="D15" s="18" t="n">
        <f aca="false">IFERROR(C15/B15,0)</f>
        <v>0.241025641025641</v>
      </c>
    </row>
    <row r="16" customFormat="false" ht="15" hidden="false" customHeight="false" outlineLevel="0" collapsed="false">
      <c r="A16" s="6" t="s">
        <v>28</v>
      </c>
      <c r="B16" s="8" t="n">
        <v>690</v>
      </c>
      <c r="C16" s="8" t="n">
        <v>161</v>
      </c>
      <c r="D16" s="18" t="n">
        <f aca="false">IFERROR(C16/B16,0)</f>
        <v>0.233333333333333</v>
      </c>
    </row>
    <row r="17" customFormat="false" ht="15" hidden="false" customHeight="false" outlineLevel="0" collapsed="false">
      <c r="A17" s="6" t="s">
        <v>29</v>
      </c>
      <c r="B17" s="8" t="n">
        <v>573</v>
      </c>
      <c r="C17" s="8" t="n">
        <v>129</v>
      </c>
      <c r="D17" s="18" t="n">
        <f aca="false">IFERROR(C17/B17,0)</f>
        <v>0.225130890052356</v>
      </c>
    </row>
    <row r="18" customFormat="false" ht="15" hidden="false" customHeight="false" outlineLevel="0" collapsed="false">
      <c r="A18" s="6" t="s">
        <v>30</v>
      </c>
      <c r="B18" s="8" t="n">
        <v>561</v>
      </c>
      <c r="C18" s="8" t="n">
        <v>122</v>
      </c>
      <c r="D18" s="18" t="n">
        <f aca="false">IFERROR(C18/B18,0)</f>
        <v>0.2174688057041</v>
      </c>
    </row>
    <row r="19" customFormat="false" ht="15" hidden="false" customHeight="false" outlineLevel="0" collapsed="false">
      <c r="A19" s="6" t="s">
        <v>31</v>
      </c>
      <c r="B19" s="8" t="n">
        <v>585</v>
      </c>
      <c r="C19" s="8" t="n">
        <v>123</v>
      </c>
      <c r="D19" s="18" t="n">
        <f aca="false">IFERROR(C19/B19,0)</f>
        <v>0.21025641025641</v>
      </c>
    </row>
    <row r="20" customFormat="false" ht="15" hidden="false" customHeight="false" outlineLevel="0" collapsed="false">
      <c r="A20" s="10" t="s">
        <v>57</v>
      </c>
      <c r="B20" s="10" t="n">
        <f aca="false">SUM(B2:B19)</f>
        <v>10726</v>
      </c>
      <c r="C20" s="10" t="n">
        <f aca="false">SUM(C2:C19)</f>
        <v>2959</v>
      </c>
      <c r="D20" s="19" t="n">
        <f aca="false">IFERROR(C20/B20,0)</f>
        <v>0.275871713593138</v>
      </c>
    </row>
    <row r="22" customFormat="false" ht="15" hidden="false" customHeight="false" outlineLevel="0" collapsed="false">
      <c r="A22" s="1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20" t="s">
        <v>59</v>
      </c>
      <c r="B1" s="20" t="s">
        <v>60</v>
      </c>
      <c r="C1" s="20" t="s">
        <v>61</v>
      </c>
    </row>
    <row r="2" customFormat="false" ht="23.85" hidden="false" customHeight="false" outlineLevel="0" collapsed="false">
      <c r="A2" s="6" t="s">
        <v>62</v>
      </c>
      <c r="B2" s="21" t="n">
        <v>0.46</v>
      </c>
      <c r="C2" s="22" t="s">
        <v>63</v>
      </c>
    </row>
    <row r="3" customFormat="false" ht="15" hidden="false" customHeight="false" outlineLevel="0" collapsed="false">
      <c r="A3" s="6" t="s">
        <v>64</v>
      </c>
      <c r="B3" s="23" t="n">
        <v>34000</v>
      </c>
      <c r="C3" s="22" t="s">
        <v>65</v>
      </c>
    </row>
    <row r="4" customFormat="false" ht="15" hidden="false" customHeight="false" outlineLevel="0" collapsed="false">
      <c r="A4" s="6" t="s">
        <v>66</v>
      </c>
      <c r="B4" s="24" t="n">
        <v>2</v>
      </c>
      <c r="C4" s="22" t="s">
        <v>67</v>
      </c>
    </row>
    <row r="5" customFormat="false" ht="23.85" hidden="false" customHeight="false" outlineLevel="0" collapsed="false">
      <c r="A5" s="6" t="s">
        <v>68</v>
      </c>
      <c r="B5" s="24" t="s">
        <v>69</v>
      </c>
      <c r="C5" s="22" t="s">
        <v>70</v>
      </c>
    </row>
    <row r="6" customFormat="false" ht="15" hidden="false" customHeight="false" outlineLevel="0" collapsed="false">
      <c r="A6" s="6" t="s">
        <v>71</v>
      </c>
      <c r="B6" s="24" t="s">
        <v>72</v>
      </c>
      <c r="C6" s="22" t="s">
        <v>73</v>
      </c>
    </row>
    <row r="7" customFormat="false" ht="15" hidden="false" customHeight="false" outlineLevel="0" collapsed="false">
      <c r="A7" s="6" t="s">
        <v>74</v>
      </c>
      <c r="B7" s="24" t="s">
        <v>75</v>
      </c>
      <c r="C7" s="22" t="s">
        <v>76</v>
      </c>
    </row>
    <row r="9" customFormat="false" ht="15" hidden="false" customHeight="false" outlineLevel="0" collapsed="false">
      <c r="A9" s="17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2026-08-20T14:32:40Z</dcterms:created>
  <dc:creator>openpyxl</dc:creator>
  <dc:description/>
  <dc:language>en-US</dc:language>
  <cp:lastModifiedBy/>
  <dcterms:modified xsi:type="dcterms:W3CDTF">2026-08-20T14:32:40Z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